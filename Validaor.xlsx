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dyspaste\Ambiente de Exposição\P@Portal_Apuração\"/>
    </mc:Choice>
  </mc:AlternateContent>
  <xr:revisionPtr revIDLastSave="0" documentId="13_ncr:1_{FF9045E9-46A8-4FFB-AA6A-D58AB4801A4E}" xr6:coauthVersionLast="47" xr6:coauthVersionMax="47" xr10:uidLastSave="{00000000-0000-0000-0000-000000000000}"/>
  <bookViews>
    <workbookView xWindow="-120" yWindow="330" windowWidth="29040" windowHeight="15990" xr2:uid="{936412E8-4EED-42FE-9151-0AE27BCF65D3}"/>
  </bookViews>
  <sheets>
    <sheet name="Planilha1" sheetId="1" r:id="rId1"/>
  </sheets>
  <definedNames>
    <definedName name="_xlnm._FilterDatabase" localSheetId="0" hidden="1">Planilha1!$I$14:$M$33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1" l="1" a="1"/>
  <c r="J35" i="1" s="1"/>
  <c r="K4" i="1"/>
  <c r="D2" i="1"/>
  <c r="D3" i="1"/>
  <c r="D4" i="1"/>
  <c r="D5" i="1"/>
  <c r="D6" i="1"/>
  <c r="D7" i="1"/>
  <c r="D8" i="1"/>
  <c r="D9" i="1"/>
  <c r="D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<sst xmlns="http://schemas.openxmlformats.org/spreadsheetml/2006/main" count="49" uniqueCount="14">
  <si>
    <t>codigoproduto</t>
  </si>
  <si>
    <t>Categoria</t>
  </si>
  <si>
    <t>Esmaltes</t>
  </si>
  <si>
    <t>Mecânica</t>
  </si>
  <si>
    <t>Venda +7 Unidades de Esmaltes e ganhe 10 reais por cliente</t>
  </si>
  <si>
    <t>Rca</t>
  </si>
  <si>
    <t>Código Cliente</t>
  </si>
  <si>
    <t>Data Venda</t>
  </si>
  <si>
    <t>Pedido de venda - Quantidade de itens</t>
  </si>
  <si>
    <t>2297 - ANTONIO ALLAN FONTINELE DE SOUSA (E2)</t>
  </si>
  <si>
    <t>Teste isolando 1 rca</t>
  </si>
  <si>
    <t>Portal</t>
  </si>
  <si>
    <t>UNDS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</si>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</sst>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18C7-33DE-405B-85F7-515CDA66620F}">
  <dimension ref="A1:M35"/>
  <sheetViews>
    <sheetView tabSelected="1" workbookViewId="0">
      <selection activeCell="D2" sqref="D2:D10"/>
    </sheetView>
  </sheetViews>
  <sheetFormatPr defaultRowHeight="15" x14ac:dyDescent="0.25"/>
  <cols>
    <col min="1" max="1" width="14.140625" style="1" bestFit="1" customWidth="1"/>
    <col min="2" max="2" width="9.42578125" bestFit="1" customWidth="1"/>
    <col min="3" max="3" width="55" bestFit="1" customWidth="1"/>
    <col min="4" max="4" width="18.5703125" style="1" bestFit="1" customWidth="1"/>
    <col min="9" max="9" width="45.5703125" bestFit="1" customWidth="1"/>
    <col min="10" max="11" width="14.140625" bestFit="1" customWidth="1"/>
    <col min="12" max="12" width="11.140625" bestFit="1" customWidth="1"/>
    <col min="13" max="13" width="36.28515625" bestFit="1" customWidth="1"/>
  </cols>
  <sheetData>
    <row r="1" spans="1:13" x14ac:dyDescent="0.25">
      <c r="A1" t="s">
        <v>0</v>
      </c>
      <c r="B1" t="s">
        <v>1</v>
      </c>
      <c r="C1" t="s">
        <v>3</v>
      </c>
      <c r="D1" s="1" t="s">
        <v>10</v>
      </c>
      <c r="K1" t="s">
        <v>12</v>
      </c>
    </row>
    <row r="2" spans="1:13" x14ac:dyDescent="0.25">
      <c r="A2">
        <v>8175</v>
      </c>
      <c r="B2" t="s">
        <v>2</v>
      </c>
      <c r="C2" t="s">
        <v>4</v>
      </c>
      <c r="D2" s="1">
        <f>SUMIFS($M$15:$M$33,$K$15:$K$33,A:A)</f>
        <v>0</v>
      </c>
      <c r="J2" t="s">
        <v>11</v>
      </c>
      <c r="K2">
        <v>36</v>
      </c>
    </row>
    <row r="3" spans="1:13" x14ac:dyDescent="0.25">
      <c r="A3">
        <v>8176</v>
      </c>
      <c r="B3" t="s">
        <v>2</v>
      </c>
      <c r="C3" t="s">
        <v>4</v>
      </c>
      <c r="D3" s="1">
        <f t="shared" ref="D3:D10" si="0">SUMIFS($M$15:$M$33,$K$15:$K$33,A:A)</f>
        <v>6</v>
      </c>
      <c r="J3" t="s">
        <v>13</v>
      </c>
      <c r="K3">
        <v>36</v>
      </c>
    </row>
    <row r="4" spans="1:13" x14ac:dyDescent="0.25">
      <c r="A4">
        <v>8185</v>
      </c>
      <c r="B4" t="s">
        <v>2</v>
      </c>
      <c r="C4" t="s">
        <v>4</v>
      </c>
      <c r="D4" s="1">
        <f t="shared" si="0"/>
        <v>6</v>
      </c>
      <c r="K4" t="str">
        <f>IF(K3=K2,"FUNCIONAAAA","refazer né")</f>
        <v>FUNCIONAAAA</v>
      </c>
    </row>
    <row r="5" spans="1:13" x14ac:dyDescent="0.25">
      <c r="A5">
        <v>8187</v>
      </c>
      <c r="B5" t="s">
        <v>2</v>
      </c>
      <c r="C5" t="s">
        <v>4</v>
      </c>
      <c r="D5" s="1">
        <f t="shared" si="0"/>
        <v>0</v>
      </c>
    </row>
    <row r="6" spans="1:13" x14ac:dyDescent="0.25">
      <c r="A6">
        <v>8189</v>
      </c>
      <c r="B6" t="s">
        <v>2</v>
      </c>
      <c r="C6" t="s">
        <v>4</v>
      </c>
      <c r="D6" s="1">
        <f t="shared" si="0"/>
        <v>0</v>
      </c>
    </row>
    <row r="7" spans="1:13" x14ac:dyDescent="0.25">
      <c r="A7">
        <v>8224</v>
      </c>
      <c r="B7" t="s">
        <v>2</v>
      </c>
      <c r="C7" t="s">
        <v>4</v>
      </c>
      <c r="D7" s="1">
        <f t="shared" si="0"/>
        <v>6</v>
      </c>
    </row>
    <row r="8" spans="1:13" x14ac:dyDescent="0.25">
      <c r="A8">
        <v>8231</v>
      </c>
      <c r="B8" t="s">
        <v>2</v>
      </c>
      <c r="C8" t="s">
        <v>4</v>
      </c>
      <c r="D8" s="1">
        <f t="shared" si="0"/>
        <v>6</v>
      </c>
    </row>
    <row r="9" spans="1:13" x14ac:dyDescent="0.25">
      <c r="A9">
        <v>8265</v>
      </c>
      <c r="B9" t="s">
        <v>2</v>
      </c>
      <c r="C9" t="s">
        <v>4</v>
      </c>
      <c r="D9" s="1">
        <f t="shared" si="0"/>
        <v>6</v>
      </c>
    </row>
    <row r="10" spans="1:13" x14ac:dyDescent="0.25">
      <c r="A10">
        <v>8268</v>
      </c>
      <c r="B10" t="s">
        <v>2</v>
      </c>
      <c r="C10" t="s">
        <v>4</v>
      </c>
      <c r="D10" s="1">
        <f t="shared" si="0"/>
        <v>6</v>
      </c>
    </row>
    <row r="14" spans="1:13" x14ac:dyDescent="0.25">
      <c r="I14" s="2" t="s">
        <v>5</v>
      </c>
      <c r="J14" s="2" t="s">
        <v>6</v>
      </c>
      <c r="K14" s="2" t="s">
        <v>0</v>
      </c>
      <c r="L14" s="2" t="s">
        <v>7</v>
      </c>
      <c r="M14" s="2" t="s">
        <v>8</v>
      </c>
    </row>
    <row r="15" spans="1:13" x14ac:dyDescent="0.25">
      <c r="I15" t="s">
        <v>9</v>
      </c>
      <c r="J15" s="3">
        <v>24155</v>
      </c>
      <c r="K15" s="3">
        <v>8176</v>
      </c>
      <c r="L15" s="4">
        <v>46064</v>
      </c>
      <c r="M15" s="3">
        <v>6</v>
      </c>
    </row>
    <row r="16" spans="1:13" x14ac:dyDescent="0.25">
      <c r="I16" t="s">
        <v>9</v>
      </c>
      <c r="J16" s="3">
        <v>24155</v>
      </c>
      <c r="K16" s="3">
        <v>8185</v>
      </c>
      <c r="L16" s="4">
        <v>46064</v>
      </c>
      <c r="M16" s="3">
        <v>6</v>
      </c>
    </row>
    <row r="17" spans="9:13" x14ac:dyDescent="0.25">
      <c r="I17" t="s">
        <v>9</v>
      </c>
      <c r="J17" s="3">
        <v>24155</v>
      </c>
      <c r="K17" s="3">
        <v>8204</v>
      </c>
      <c r="L17" s="4">
        <v>46064</v>
      </c>
      <c r="M17" s="3">
        <v>6</v>
      </c>
    </row>
    <row r="18" spans="9:13" x14ac:dyDescent="0.25">
      <c r="I18" t="s">
        <v>9</v>
      </c>
      <c r="J18" s="3">
        <v>24155</v>
      </c>
      <c r="K18" s="3">
        <v>8207</v>
      </c>
      <c r="L18" s="4">
        <v>46064</v>
      </c>
      <c r="M18" s="3">
        <v>6</v>
      </c>
    </row>
    <row r="19" spans="9:13" x14ac:dyDescent="0.25">
      <c r="I19" t="s">
        <v>9</v>
      </c>
      <c r="J19" s="3">
        <v>24155</v>
      </c>
      <c r="K19" s="3">
        <v>8212</v>
      </c>
      <c r="L19" s="4">
        <v>46064</v>
      </c>
      <c r="M19" s="3">
        <v>6</v>
      </c>
    </row>
    <row r="20" spans="9:13" x14ac:dyDescent="0.25">
      <c r="I20" t="s">
        <v>9</v>
      </c>
      <c r="J20" s="3">
        <v>24155</v>
      </c>
      <c r="K20" s="3">
        <v>8213</v>
      </c>
      <c r="L20" s="4">
        <v>46064</v>
      </c>
      <c r="M20" s="3">
        <v>6</v>
      </c>
    </row>
    <row r="21" spans="9:13" x14ac:dyDescent="0.25">
      <c r="I21" t="s">
        <v>9</v>
      </c>
      <c r="J21" s="3">
        <v>24155</v>
      </c>
      <c r="K21" s="3">
        <v>8224</v>
      </c>
      <c r="L21" s="4">
        <v>46064</v>
      </c>
      <c r="M21" s="3">
        <v>6</v>
      </c>
    </row>
    <row r="22" spans="9:13" x14ac:dyDescent="0.25">
      <c r="I22" t="s">
        <v>9</v>
      </c>
      <c r="J22" s="3">
        <v>24155</v>
      </c>
      <c r="K22" s="3">
        <v>8227</v>
      </c>
      <c r="L22" s="4">
        <v>46064</v>
      </c>
      <c r="M22" s="3">
        <v>6</v>
      </c>
    </row>
    <row r="23" spans="9:13" x14ac:dyDescent="0.25">
      <c r="I23" t="s">
        <v>9</v>
      </c>
      <c r="J23" s="3">
        <v>24155</v>
      </c>
      <c r="K23" s="3">
        <v>8231</v>
      </c>
      <c r="L23" s="4">
        <v>46064</v>
      </c>
      <c r="M23" s="3">
        <v>6</v>
      </c>
    </row>
    <row r="24" spans="9:13" x14ac:dyDescent="0.25">
      <c r="I24" t="s">
        <v>9</v>
      </c>
      <c r="J24" s="3">
        <v>24155</v>
      </c>
      <c r="K24" s="3">
        <v>8264</v>
      </c>
      <c r="L24" s="4">
        <v>46064</v>
      </c>
      <c r="M24" s="3">
        <v>6</v>
      </c>
    </row>
    <row r="25" spans="9:13" x14ac:dyDescent="0.25">
      <c r="I25" t="s">
        <v>9</v>
      </c>
      <c r="J25" s="3">
        <v>24155</v>
      </c>
      <c r="K25" s="3">
        <v>8265</v>
      </c>
      <c r="L25" s="4">
        <v>46064</v>
      </c>
      <c r="M25" s="3">
        <v>6</v>
      </c>
    </row>
    <row r="26" spans="9:13" x14ac:dyDescent="0.25">
      <c r="I26" t="s">
        <v>9</v>
      </c>
      <c r="J26" s="3">
        <v>24155</v>
      </c>
      <c r="K26" s="3">
        <v>8268</v>
      </c>
      <c r="L26" s="4">
        <v>46064</v>
      </c>
      <c r="M26" s="3">
        <v>6</v>
      </c>
    </row>
    <row r="27" spans="9:13" x14ac:dyDescent="0.25">
      <c r="I27" t="s">
        <v>9</v>
      </c>
      <c r="J27" s="3">
        <v>24155</v>
      </c>
      <c r="K27" s="3">
        <v>8270</v>
      </c>
      <c r="L27" s="4">
        <v>46064</v>
      </c>
      <c r="M27" s="3">
        <v>6</v>
      </c>
    </row>
    <row r="28" spans="9:13" x14ac:dyDescent="0.25">
      <c r="I28" t="s">
        <v>9</v>
      </c>
      <c r="J28" s="3">
        <v>24155</v>
      </c>
      <c r="K28" s="3">
        <v>33276</v>
      </c>
      <c r="L28" s="4">
        <v>46064</v>
      </c>
      <c r="M28" s="3">
        <v>6</v>
      </c>
    </row>
    <row r="29" spans="9:13" x14ac:dyDescent="0.25">
      <c r="I29" t="s">
        <v>9</v>
      </c>
      <c r="J29" s="3">
        <v>24155</v>
      </c>
      <c r="K29" s="3">
        <v>34748</v>
      </c>
      <c r="L29" s="4">
        <v>46064</v>
      </c>
      <c r="M29" s="3">
        <v>6</v>
      </c>
    </row>
    <row r="30" spans="9:13" x14ac:dyDescent="0.25">
      <c r="I30" t="s">
        <v>9</v>
      </c>
      <c r="J30" s="3">
        <v>24155</v>
      </c>
      <c r="K30" s="3">
        <v>34749</v>
      </c>
      <c r="L30" s="4">
        <v>46064</v>
      </c>
      <c r="M30" s="3">
        <v>6</v>
      </c>
    </row>
    <row r="31" spans="9:13" x14ac:dyDescent="0.25">
      <c r="I31" t="s">
        <v>9</v>
      </c>
      <c r="J31" s="3">
        <v>24155</v>
      </c>
      <c r="K31" s="3">
        <v>49028</v>
      </c>
      <c r="L31" s="4">
        <v>46064</v>
      </c>
      <c r="M31" s="3">
        <v>6</v>
      </c>
    </row>
    <row r="32" spans="9:13" x14ac:dyDescent="0.25">
      <c r="I32" t="s">
        <v>9</v>
      </c>
      <c r="J32" s="3">
        <v>24155</v>
      </c>
      <c r="K32" s="3">
        <v>49032</v>
      </c>
      <c r="L32" s="4">
        <v>46064</v>
      </c>
      <c r="M32" s="3">
        <v>6</v>
      </c>
    </row>
    <row r="33" spans="9:13" x14ac:dyDescent="0.25">
      <c r="I33" t="s">
        <v>9</v>
      </c>
      <c r="J33" s="3">
        <v>24155</v>
      </c>
      <c r="K33" s="3">
        <v>79020</v>
      </c>
      <c r="L33" s="4">
        <v>46064</v>
      </c>
      <c r="M33" s="3">
        <v>6</v>
      </c>
    </row>
    <row r="35" spans="9:13" x14ac:dyDescent="0.25">
      <c r="J35" cm="1">
        <f t="array" ref="J35">_xlfn.UNIQUE(J15:J33)</f>
        <v>24155</v>
      </c>
    </row>
  </sheetData>
  <autoFilter ref="I14:M33" xr:uid="{736A18C7-33DE-405B-85F7-515CDA66620F}">
    <sortState xmlns:xlrd2="http://schemas.microsoft.com/office/spreadsheetml/2017/richdata2" ref="I15:M33">
      <sortCondition ref="K14:K33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Ulisses De Pinho</dc:creator>
  <cp:lastModifiedBy>Ulisses De Pinho</cp:lastModifiedBy>
  <dcterms:created xsi:type="dcterms:W3CDTF">2026-02-28T01:18:40Z</dcterms:created>
  <dcterms:modified xsi:type="dcterms:W3CDTF">2026-02-28T04:31:04Z</dcterms:modified>
</cp:coreProperties>
</file>